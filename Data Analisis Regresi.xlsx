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kumen\Kuliah IPB\Semester 4\Analisis Regresi\Data Tugas Anreg\"/>
    </mc:Choice>
  </mc:AlternateContent>
  <xr:revisionPtr revIDLastSave="0" documentId="13_ncr:1_{DB9C0EB5-9943-4DF9-ADA5-9570A8434C40}" xr6:coauthVersionLast="47" xr6:coauthVersionMax="47" xr10:uidLastSave="{00000000-0000-0000-0000-000000000000}"/>
  <bookViews>
    <workbookView xWindow="-98" yWindow="-98" windowWidth="21795" windowHeight="12975" xr2:uid="{00D8AF8F-4C44-40CE-BE9A-F63CEB734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2" i="1"/>
  <c r="G13" i="1"/>
  <c r="G10" i="1"/>
  <c r="G11" i="1"/>
  <c r="G8" i="1"/>
  <c r="G9" i="1"/>
  <c r="G7" i="1"/>
  <c r="G6" i="1"/>
  <c r="G5" i="1"/>
  <c r="F43" i="1"/>
  <c r="E43" i="1"/>
</calcChain>
</file>

<file path=xl/sharedStrings.xml><?xml version="1.0" encoding="utf-8"?>
<sst xmlns="http://schemas.openxmlformats.org/spreadsheetml/2006/main" count="47" uniqueCount="47">
  <si>
    <t>38 Provinsi</t>
  </si>
  <si>
    <t>Produksi Padi Menurut 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</si>
  <si>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</si>
  <si>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</si>
  <si>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</si>
  <si>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</si>
  <si>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</si>
  <si>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</si>
  <si>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</si>
  <si>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</si>
  <si>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</si>
  <si>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</si>
  <si>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</si>
  <si>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</si>
  <si>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</si>
  <si>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</si>
  <si>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</si>
  <si>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</si>
  <si>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</si>
  <si>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</si>
  <si>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</si>
  <si>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</si>
  <si>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</si>
  <si>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</si>
  <si>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</si>
  <si>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</si>
  <si>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</si>
  <si>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</si>
  <si>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</si>
  <si>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</si>
  <si>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</si>
  <si>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</si>
  <si>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</si>
  <si>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</si>
  <si>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</si>
  <si>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</si>
  <si>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</si>
  <si>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</si>
  <si>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</si>
  <si>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</si>
  <si>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</si>
  <si>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Produksi (ton) (Y)</t>
  </si>
  <si>
    <t>Produktivitas (ku/ha) (X1)</t>
  </si>
  <si>
    <t>Luas Panen (ha) (X2)</t>
  </si>
  <si>
    <t>PDRB Pertanian (Miliar Rupiah) (X3)</t>
  </si>
  <si>
    <t>Jumlah Pekerja (X4)</t>
  </si>
  <si>
    <t>Jumlah Pupuk Subsidi (Ton) (X5)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</si>
</sst>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6429-9E5A-4E09-BC2E-21E63581AEB3}">
  <dimension ref="A1:G43"/>
  <sheetViews>
    <sheetView tabSelected="1" workbookViewId="0">
      <selection activeCell="G3" sqref="G3"/>
    </sheetView>
  </sheetViews>
  <sheetFormatPr defaultRowHeight="14.25" x14ac:dyDescent="0.45"/>
  <cols>
    <col min="1" max="1" width="19.73046875" bestFit="1" customWidth="1"/>
    <col min="2" max="2" width="14.19921875" bestFit="1" customWidth="1"/>
    <col min="3" max="3" width="20.53125" bestFit="1" customWidth="1"/>
    <col min="4" max="4" width="16.6640625" bestFit="1" customWidth="1"/>
    <col min="5" max="5" width="28.33203125" bestFit="1" customWidth="1"/>
    <col min="6" max="6" width="15.9296875" bestFit="1" customWidth="1"/>
    <col min="7" max="7" width="25.796875" bestFit="1" customWidth="1"/>
  </cols>
  <sheetData>
    <row r="1" spans="1:7" x14ac:dyDescent="0.45">
      <c r="A1" s="1" t="s">
        <v>0</v>
      </c>
    </row>
    <row r="2" spans="1:7" x14ac:dyDescent="0.45">
      <c r="A2" s="1"/>
      <c r="B2" s="1" t="s">
        <v>1</v>
      </c>
      <c r="C2" s="1"/>
      <c r="D2" s="1"/>
    </row>
    <row r="3" spans="1:7" x14ac:dyDescent="0.45">
      <c r="A3" s="1"/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</row>
    <row r="4" spans="1:7" x14ac:dyDescent="0.45">
      <c r="A4" s="1"/>
      <c r="B4">
        <v>2024</v>
      </c>
      <c r="C4">
        <v>2024</v>
      </c>
      <c r="D4">
        <v>2024</v>
      </c>
      <c r="E4">
        <v>2024</v>
      </c>
      <c r="F4">
        <v>2024</v>
      </c>
      <c r="G4">
        <v>2024</v>
      </c>
    </row>
    <row r="5" spans="1:7" x14ac:dyDescent="0.45">
      <c r="A5" t="s">
        <v>2</v>
      </c>
      <c r="B5">
        <v>1659966.28</v>
      </c>
      <c r="C5">
        <v>55.11</v>
      </c>
      <c r="D5">
        <v>301196.34999999998</v>
      </c>
      <c r="E5">
        <v>42121</v>
      </c>
      <c r="F5">
        <v>248097</v>
      </c>
      <c r="G5">
        <f>100364+94121+4022+14643</f>
        <v>213150</v>
      </c>
    </row>
    <row r="6" spans="1:7" x14ac:dyDescent="0.45">
      <c r="A6" t="s">
        <v>3</v>
      </c>
      <c r="B6">
        <v>2204875.5099999998</v>
      </c>
      <c r="C6">
        <v>52.56</v>
      </c>
      <c r="D6">
        <v>419463.48</v>
      </c>
      <c r="E6">
        <v>158953</v>
      </c>
      <c r="F6">
        <v>682760</v>
      </c>
      <c r="G6">
        <f>212943+233888+5979+25488</f>
        <v>478298</v>
      </c>
    </row>
    <row r="7" spans="1:7" x14ac:dyDescent="0.45">
      <c r="A7" t="s">
        <v>4</v>
      </c>
      <c r="B7">
        <v>1356467.93</v>
      </c>
      <c r="C7">
        <v>45.94</v>
      </c>
      <c r="D7">
        <v>295278.98</v>
      </c>
      <c r="E7">
        <v>42468</v>
      </c>
      <c r="F7">
        <v>261374</v>
      </c>
      <c r="G7">
        <f>117322+130643+2669</f>
        <v>250634</v>
      </c>
    </row>
    <row r="8" spans="1:7" x14ac:dyDescent="0.45">
      <c r="A8" t="s">
        <v>5</v>
      </c>
      <c r="B8">
        <v>222055.71</v>
      </c>
      <c r="C8">
        <v>39.36</v>
      </c>
      <c r="D8">
        <v>56421.96</v>
      </c>
      <c r="E8">
        <v>152698</v>
      </c>
      <c r="F8">
        <v>460940</v>
      </c>
      <c r="G8">
        <f>3846+5905</f>
        <v>9751</v>
      </c>
    </row>
    <row r="9" spans="1:7" x14ac:dyDescent="0.45">
      <c r="A9" t="s">
        <v>6</v>
      </c>
      <c r="B9">
        <v>281022.05</v>
      </c>
      <c r="C9">
        <v>45.6</v>
      </c>
      <c r="D9">
        <v>61625.68</v>
      </c>
      <c r="E9">
        <v>47640</v>
      </c>
      <c r="F9">
        <v>249428</v>
      </c>
      <c r="G9">
        <f>17701+26966+8</f>
        <v>44675</v>
      </c>
    </row>
    <row r="10" spans="1:7" x14ac:dyDescent="0.45">
      <c r="A10" t="s">
        <v>7</v>
      </c>
      <c r="B10">
        <v>2909411.67</v>
      </c>
      <c r="C10">
        <v>55.83</v>
      </c>
      <c r="D10">
        <v>521092.21</v>
      </c>
      <c r="E10">
        <v>59660</v>
      </c>
      <c r="F10">
        <v>434639</v>
      </c>
      <c r="G10">
        <f>124356+148476+29+21613</f>
        <v>294474</v>
      </c>
    </row>
    <row r="11" spans="1:7" x14ac:dyDescent="0.45">
      <c r="A11" t="s">
        <v>8</v>
      </c>
      <c r="B11">
        <v>272848.55</v>
      </c>
      <c r="C11">
        <v>48.92</v>
      </c>
      <c r="D11">
        <v>55775.09</v>
      </c>
      <c r="E11">
        <v>14341</v>
      </c>
      <c r="F11">
        <v>101439</v>
      </c>
      <c r="G11">
        <f>26286+37496+11</f>
        <v>63793</v>
      </c>
    </row>
    <row r="12" spans="1:7" x14ac:dyDescent="0.45">
      <c r="A12" t="s">
        <v>9</v>
      </c>
      <c r="B12">
        <v>2791347.53</v>
      </c>
      <c r="C12">
        <v>52.5</v>
      </c>
      <c r="D12">
        <v>531715.12</v>
      </c>
      <c r="E12">
        <v>68237</v>
      </c>
      <c r="F12">
        <v>435306</v>
      </c>
      <c r="G12">
        <f>349531+396891+24282+33015</f>
        <v>803719</v>
      </c>
    </row>
    <row r="13" spans="1:7" x14ac:dyDescent="0.45">
      <c r="A13" t="s">
        <v>10</v>
      </c>
      <c r="B13">
        <v>77489.789999999994</v>
      </c>
      <c r="C13">
        <v>42.57</v>
      </c>
      <c r="D13">
        <v>18202.560000000001</v>
      </c>
      <c r="E13">
        <v>11635</v>
      </c>
      <c r="F13">
        <v>69972</v>
      </c>
      <c r="G13">
        <f>1743+4074+52</f>
        <v>5869</v>
      </c>
    </row>
    <row r="14" spans="1:7" x14ac:dyDescent="0.45">
      <c r="A14" t="s">
        <v>11</v>
      </c>
      <c r="B14">
        <v>305.08999999999997</v>
      </c>
      <c r="C14">
        <v>26.92</v>
      </c>
      <c r="D14">
        <v>113.33</v>
      </c>
      <c r="E14">
        <v>5720</v>
      </c>
      <c r="F14">
        <v>22541</v>
      </c>
      <c r="G14">
        <f>117+404</f>
        <v>521</v>
      </c>
    </row>
    <row r="15" spans="1:7" x14ac:dyDescent="0.45">
      <c r="A15" t="s">
        <v>12</v>
      </c>
      <c r="B15">
        <v>2306.54</v>
      </c>
      <c r="C15">
        <v>46.29</v>
      </c>
      <c r="D15">
        <v>498.31</v>
      </c>
      <c r="E15">
        <v>1517</v>
      </c>
      <c r="F15">
        <v>7111</v>
      </c>
      <c r="G15">
        <f>58+50</f>
        <v>108</v>
      </c>
    </row>
    <row r="16" spans="1:7" x14ac:dyDescent="0.45">
      <c r="A16" t="s">
        <v>13</v>
      </c>
      <c r="B16">
        <v>8626879.9100000001</v>
      </c>
      <c r="C16">
        <v>58.47</v>
      </c>
      <c r="D16">
        <v>1475362.09</v>
      </c>
      <c r="E16">
        <v>115105</v>
      </c>
      <c r="F16">
        <v>1357982</v>
      </c>
      <c r="G16">
        <f>634990+475139+416+101005</f>
        <v>1211550</v>
      </c>
    </row>
    <row r="17" spans="1:7" x14ac:dyDescent="0.45">
      <c r="A17" t="s">
        <v>14</v>
      </c>
      <c r="B17">
        <v>8891297.0500000007</v>
      </c>
      <c r="C17">
        <v>57.19</v>
      </c>
      <c r="D17">
        <v>1554777.14</v>
      </c>
      <c r="E17">
        <v>133194</v>
      </c>
      <c r="F17">
        <v>1173693</v>
      </c>
      <c r="G17">
        <f>773647+640510+149+100096</f>
        <v>1514402</v>
      </c>
    </row>
    <row r="18" spans="1:7" x14ac:dyDescent="0.45">
      <c r="A18" t="s">
        <v>15</v>
      </c>
      <c r="B18">
        <v>452831.77</v>
      </c>
      <c r="C18">
        <v>46.7</v>
      </c>
      <c r="D18">
        <v>96976.13</v>
      </c>
      <c r="E18">
        <v>9177</v>
      </c>
      <c r="F18">
        <v>38637</v>
      </c>
      <c r="G18">
        <f>49280+42411+137</f>
        <v>91828</v>
      </c>
    </row>
    <row r="19" spans="1:7" x14ac:dyDescent="0.45">
      <c r="A19" t="s">
        <v>16</v>
      </c>
      <c r="B19">
        <v>9270435.2899999991</v>
      </c>
      <c r="C19">
        <v>57.33</v>
      </c>
      <c r="D19">
        <v>1616985.05</v>
      </c>
      <c r="E19">
        <v>177790</v>
      </c>
      <c r="F19">
        <v>2027848</v>
      </c>
      <c r="G19">
        <f>981730+832370+986+104988</f>
        <v>1920074</v>
      </c>
    </row>
    <row r="20" spans="1:7" x14ac:dyDescent="0.45">
      <c r="A20" t="s">
        <v>17</v>
      </c>
      <c r="B20">
        <v>1550623.46</v>
      </c>
      <c r="C20">
        <v>51.84</v>
      </c>
      <c r="D20">
        <v>299090.78999999998</v>
      </c>
      <c r="E20">
        <v>26703</v>
      </c>
      <c r="F20">
        <v>250351</v>
      </c>
      <c r="G20">
        <f>88520+76113+17333</f>
        <v>181966</v>
      </c>
    </row>
    <row r="21" spans="1:7" x14ac:dyDescent="0.45">
      <c r="A21" t="s">
        <v>18</v>
      </c>
      <c r="B21">
        <v>635473.35</v>
      </c>
      <c r="C21">
        <v>61.22</v>
      </c>
      <c r="D21">
        <v>103803.93</v>
      </c>
      <c r="E21">
        <v>21580</v>
      </c>
      <c r="F21">
        <v>98343</v>
      </c>
      <c r="G21">
        <f>41232+35563+1859</f>
        <v>78654</v>
      </c>
    </row>
    <row r="22" spans="1:7" x14ac:dyDescent="0.45">
      <c r="A22" t="s">
        <v>19</v>
      </c>
      <c r="B22">
        <v>1453408.37</v>
      </c>
      <c r="C22">
        <v>51.59</v>
      </c>
      <c r="D22">
        <v>281717.84000000003</v>
      </c>
      <c r="E22">
        <v>22992</v>
      </c>
      <c r="F22">
        <v>248914</v>
      </c>
      <c r="G22">
        <f>222405+190653+1059+19489</f>
        <v>433606</v>
      </c>
    </row>
    <row r="23" spans="1:7" x14ac:dyDescent="0.45">
      <c r="A23" t="s">
        <v>20</v>
      </c>
      <c r="B23">
        <v>707792.54</v>
      </c>
      <c r="C23">
        <v>41.95</v>
      </c>
      <c r="D23">
        <v>168727.24</v>
      </c>
      <c r="E23">
        <v>21208</v>
      </c>
      <c r="F23">
        <v>82670</v>
      </c>
      <c r="G23">
        <f>62228+70244+659</f>
        <v>133131</v>
      </c>
    </row>
    <row r="24" spans="1:7" x14ac:dyDescent="0.45">
      <c r="A24" t="s">
        <v>21</v>
      </c>
      <c r="B24">
        <v>764784.15</v>
      </c>
      <c r="C24">
        <v>30.94</v>
      </c>
      <c r="D24">
        <v>247207.72</v>
      </c>
      <c r="E24">
        <v>36151</v>
      </c>
      <c r="F24">
        <v>388940</v>
      </c>
      <c r="G24">
        <f>54193+94855</f>
        <v>149048</v>
      </c>
    </row>
    <row r="25" spans="1:7" x14ac:dyDescent="0.45">
      <c r="A25" t="s">
        <v>22</v>
      </c>
      <c r="B25">
        <v>366146.82</v>
      </c>
      <c r="C25">
        <v>32.979999999999997</v>
      </c>
      <c r="D25">
        <v>111016.13</v>
      </c>
      <c r="E25">
        <v>24148</v>
      </c>
      <c r="F25">
        <v>207741</v>
      </c>
      <c r="G25">
        <f>11427+15660+9</f>
        <v>27096</v>
      </c>
    </row>
    <row r="26" spans="1:7" x14ac:dyDescent="0.45">
      <c r="A26" t="s">
        <v>23</v>
      </c>
      <c r="B26">
        <v>1029567.93</v>
      </c>
      <c r="C26">
        <v>41.83</v>
      </c>
      <c r="D26">
        <v>246112.42</v>
      </c>
      <c r="E26">
        <v>20351</v>
      </c>
      <c r="F26">
        <v>119456</v>
      </c>
      <c r="G26">
        <f>47224+51314+12778</f>
        <v>111316</v>
      </c>
    </row>
    <row r="27" spans="1:7" x14ac:dyDescent="0.45">
      <c r="A27" t="s">
        <v>24</v>
      </c>
      <c r="B27">
        <v>249642.9</v>
      </c>
      <c r="C27">
        <v>39.6</v>
      </c>
      <c r="D27">
        <v>63041.65</v>
      </c>
      <c r="E27">
        <v>35373</v>
      </c>
      <c r="F27">
        <v>99216</v>
      </c>
      <c r="G27">
        <f>14930+18698+464</f>
        <v>34092</v>
      </c>
    </row>
    <row r="28" spans="1:7" x14ac:dyDescent="0.45">
      <c r="A28" t="s">
        <v>25</v>
      </c>
      <c r="B28">
        <v>30079.77</v>
      </c>
      <c r="C28">
        <v>36.32</v>
      </c>
      <c r="D28">
        <v>8282.06</v>
      </c>
      <c r="E28">
        <v>12444</v>
      </c>
      <c r="F28">
        <v>29140</v>
      </c>
      <c r="G28">
        <f>2900+4472+565</f>
        <v>7937</v>
      </c>
    </row>
    <row r="29" spans="1:7" x14ac:dyDescent="0.45">
      <c r="A29" t="s">
        <v>26</v>
      </c>
      <c r="B29">
        <v>273134.94</v>
      </c>
      <c r="C29">
        <v>46.2</v>
      </c>
      <c r="D29">
        <v>59121.96</v>
      </c>
      <c r="E29">
        <v>21114</v>
      </c>
      <c r="F29">
        <v>113578</v>
      </c>
      <c r="G29">
        <f>46711+42830+395</f>
        <v>89936</v>
      </c>
    </row>
    <row r="30" spans="1:7" x14ac:dyDescent="0.45">
      <c r="A30" t="s">
        <v>27</v>
      </c>
      <c r="B30">
        <v>761936.39</v>
      </c>
      <c r="C30">
        <v>44.14</v>
      </c>
      <c r="D30">
        <v>172606.22</v>
      </c>
      <c r="E30">
        <v>32848</v>
      </c>
      <c r="F30">
        <v>116299</v>
      </c>
      <c r="G30">
        <f>57914+55069+15074</f>
        <v>128057</v>
      </c>
    </row>
    <row r="31" spans="1:7" x14ac:dyDescent="0.45">
      <c r="A31" t="s">
        <v>28</v>
      </c>
      <c r="B31">
        <v>4818429.3899999997</v>
      </c>
      <c r="C31">
        <v>50.65</v>
      </c>
      <c r="D31">
        <v>951308.6</v>
      </c>
      <c r="E31">
        <v>75167</v>
      </c>
      <c r="F31">
        <v>245700</v>
      </c>
      <c r="G31">
        <f>407492+370193+42118+49552</f>
        <v>869355</v>
      </c>
    </row>
    <row r="32" spans="1:7" x14ac:dyDescent="0.45">
      <c r="A32" t="s">
        <v>29</v>
      </c>
      <c r="B32">
        <v>555836.07999999996</v>
      </c>
      <c r="C32">
        <v>42.76</v>
      </c>
      <c r="D32">
        <v>129999.61</v>
      </c>
      <c r="E32">
        <v>25735</v>
      </c>
      <c r="F32">
        <v>49889</v>
      </c>
      <c r="G32">
        <f>31363+36294+16968</f>
        <v>84625</v>
      </c>
    </row>
    <row r="33" spans="1:7" x14ac:dyDescent="0.45">
      <c r="A33" t="s">
        <v>30</v>
      </c>
      <c r="B33">
        <v>234862.88</v>
      </c>
      <c r="C33">
        <v>50.02</v>
      </c>
      <c r="D33">
        <v>46952.15</v>
      </c>
      <c r="E33">
        <v>11719</v>
      </c>
      <c r="F33">
        <v>50586</v>
      </c>
      <c r="G33">
        <f>89848+80293+18</f>
        <v>170159</v>
      </c>
    </row>
    <row r="34" spans="1:7" x14ac:dyDescent="0.45">
      <c r="A34" t="s">
        <v>31</v>
      </c>
      <c r="B34">
        <v>318876.59000000003</v>
      </c>
      <c r="C34">
        <v>50.47</v>
      </c>
      <c r="D34">
        <v>63181.59</v>
      </c>
      <c r="E34">
        <v>14543</v>
      </c>
      <c r="F34">
        <v>48859</v>
      </c>
      <c r="G34">
        <f>40098+35573+18857</f>
        <v>94528</v>
      </c>
    </row>
    <row r="35" spans="1:7" x14ac:dyDescent="0.45">
      <c r="A35" t="s">
        <v>32</v>
      </c>
      <c r="B35">
        <v>91125.35</v>
      </c>
      <c r="C35">
        <v>38.049999999999997</v>
      </c>
      <c r="D35">
        <v>23947.35</v>
      </c>
      <c r="E35">
        <v>8558</v>
      </c>
      <c r="F35">
        <v>31806</v>
      </c>
      <c r="G35">
        <f>4295+5343</f>
        <v>9638</v>
      </c>
    </row>
    <row r="36" spans="1:7" x14ac:dyDescent="0.45">
      <c r="A36" t="s">
        <v>33</v>
      </c>
      <c r="B36">
        <v>31232.95</v>
      </c>
      <c r="C36">
        <v>33.340000000000003</v>
      </c>
      <c r="D36">
        <v>9366.7099999999991</v>
      </c>
      <c r="E36">
        <v>6441</v>
      </c>
      <c r="F36">
        <v>15598</v>
      </c>
      <c r="G36">
        <f>2152+3259+58</f>
        <v>5469</v>
      </c>
    </row>
    <row r="37" spans="1:7" x14ac:dyDescent="0.45">
      <c r="A37" t="s">
        <v>34</v>
      </c>
      <c r="B37">
        <v>20729.150000000001</v>
      </c>
      <c r="C37">
        <v>40.479999999999997</v>
      </c>
      <c r="D37">
        <v>5121.13</v>
      </c>
      <c r="E37">
        <v>3311</v>
      </c>
      <c r="F37">
        <v>7527</v>
      </c>
      <c r="G37">
        <f>1839+2692+1</f>
        <v>4532</v>
      </c>
    </row>
    <row r="38" spans="1:7" x14ac:dyDescent="0.45">
      <c r="A38" t="s">
        <v>35</v>
      </c>
      <c r="B38">
        <v>988.64</v>
      </c>
      <c r="C38">
        <v>27.17</v>
      </c>
      <c r="D38">
        <v>363.87</v>
      </c>
      <c r="E38">
        <v>2849</v>
      </c>
      <c r="F38">
        <v>4748</v>
      </c>
    </row>
    <row r="39" spans="1:7" x14ac:dyDescent="0.45">
      <c r="A39" t="s">
        <v>36</v>
      </c>
      <c r="B39">
        <v>4609.95</v>
      </c>
      <c r="C39">
        <v>43.14</v>
      </c>
      <c r="D39">
        <v>1068.57</v>
      </c>
      <c r="E39">
        <v>7074</v>
      </c>
      <c r="F39">
        <v>6297</v>
      </c>
      <c r="G39">
        <f>13941+20042+26</f>
        <v>34009</v>
      </c>
    </row>
    <row r="40" spans="1:7" x14ac:dyDescent="0.45">
      <c r="A40" t="s">
        <v>37</v>
      </c>
      <c r="B40">
        <v>217789.62</v>
      </c>
      <c r="C40">
        <v>46.17</v>
      </c>
      <c r="D40">
        <v>47168.57</v>
      </c>
      <c r="E40">
        <v>4422</v>
      </c>
      <c r="F40">
        <v>8946</v>
      </c>
    </row>
    <row r="41" spans="1:7" x14ac:dyDescent="0.45">
      <c r="A41" t="s">
        <v>38</v>
      </c>
      <c r="B41">
        <v>6072.38</v>
      </c>
      <c r="C41">
        <v>42.28</v>
      </c>
      <c r="D41">
        <v>1436.12</v>
      </c>
      <c r="E41">
        <v>3866</v>
      </c>
      <c r="F41">
        <v>5637</v>
      </c>
    </row>
    <row r="42" spans="1:7" x14ac:dyDescent="0.45">
      <c r="A42" t="s">
        <v>39</v>
      </c>
      <c r="B42">
        <v>42.38</v>
      </c>
      <c r="C42">
        <v>43.87</v>
      </c>
      <c r="D42">
        <v>9.66</v>
      </c>
      <c r="E42">
        <v>2410</v>
      </c>
      <c r="F42">
        <v>2367</v>
      </c>
    </row>
    <row r="43" spans="1:7" x14ac:dyDescent="0.45">
      <c r="A43" t="s">
        <v>40</v>
      </c>
      <c r="B43">
        <v>53142726.649999999</v>
      </c>
      <c r="C43">
        <v>52.9</v>
      </c>
      <c r="D43">
        <v>10046135.359999999</v>
      </c>
      <c r="E43">
        <f>SUM(E5:E42)</f>
        <v>1481263</v>
      </c>
      <c r="F43">
        <f>SUM(F5:F42)</f>
        <v>9804375</v>
      </c>
    </row>
  </sheetData>
  <mergeCells count="2">
    <mergeCell ref="A1:A4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Desthio Akhmad</dc:creator>
  <cp:lastModifiedBy>Desthio Akhmad</cp:lastModifiedBy>
  <dcterms:created xsi:type="dcterms:W3CDTF">2026-02-09T17:49:42Z</dcterms:created>
  <dcterms:modified xsi:type="dcterms:W3CDTF">2026-02-09T20:20:25Z</dcterms:modified>
</cp:coreProperties>
</file>